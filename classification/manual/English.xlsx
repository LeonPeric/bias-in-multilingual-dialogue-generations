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<sst xmlns="http://schemas.openxmlformats.org/spreadsheetml/2006/main" count="290" uniqueCount="20">
  <si>
    <t>Timestamp</t>
  </si>
  <si>
    <t>Which tone does the response above use?</t>
  </si>
  <si>
    <t>Is the response above general or specific?</t>
  </si>
  <si>
    <t>Care</t>
  </si>
  <si>
    <t>Specific</t>
  </si>
  <si>
    <t>None of the above</t>
  </si>
  <si>
    <t>Curiosity</t>
  </si>
  <si>
    <t>General</t>
  </si>
  <si>
    <t>Sympathy</t>
  </si>
  <si>
    <t>Patronising</t>
  </si>
  <si>
    <t>Interannotator-agreement</t>
  </si>
  <si>
    <t>Average interannotator-agreement</t>
  </si>
  <si>
    <t>Most popular answer</t>
  </si>
  <si>
    <t>-</t>
  </si>
  <si>
    <t>LLM answer</t>
  </si>
  <si>
    <t>Both/None</t>
  </si>
  <si>
    <t>Count for me</t>
  </si>
  <si>
    <t>LLM agree (see paper)</t>
  </si>
  <si>
    <t>Agreement score</t>
  </si>
  <si>
    <t>Amount of considered examples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</si>
</sst>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7" width="18.88"/>
  </cols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  <c r="V1" s="1" t="s">
        <v>1</v>
      </c>
      <c r="W1" s="1" t="s">
        <v>2</v>
      </c>
      <c r="X1" s="1" t="s">
        <v>1</v>
      </c>
      <c r="Y1" s="1" t="s">
        <v>2</v>
      </c>
      <c r="Z1" s="1" t="s">
        <v>1</v>
      </c>
      <c r="AA1" s="1" t="s">
        <v>2</v>
      </c>
      <c r="AB1" s="1" t="s">
        <v>1</v>
      </c>
      <c r="AC1" s="1" t="s">
        <v>2</v>
      </c>
      <c r="AD1" s="1" t="s">
        <v>1</v>
      </c>
      <c r="AE1" s="1" t="s">
        <v>2</v>
      </c>
      <c r="AF1" s="1" t="s">
        <v>1</v>
      </c>
      <c r="AG1" s="1" t="s">
        <v>2</v>
      </c>
      <c r="AH1" s="1" t="s">
        <v>1</v>
      </c>
      <c r="AI1" s="1" t="s">
        <v>2</v>
      </c>
      <c r="AJ1" s="1" t="s">
        <v>1</v>
      </c>
      <c r="AK1" s="1" t="s">
        <v>2</v>
      </c>
      <c r="AL1" s="1" t="s">
        <v>1</v>
      </c>
      <c r="AM1" s="1" t="s">
        <v>2</v>
      </c>
      <c r="AN1" s="1" t="s">
        <v>1</v>
      </c>
      <c r="AO1" s="1" t="s">
        <v>2</v>
      </c>
      <c r="AP1" s="1" t="s">
        <v>1</v>
      </c>
      <c r="AQ1" s="1" t="s">
        <v>2</v>
      </c>
      <c r="AR1" s="1" t="s">
        <v>1</v>
      </c>
      <c r="AS1" s="1" t="s">
        <v>2</v>
      </c>
      <c r="AT1" s="1" t="s">
        <v>1</v>
      </c>
      <c r="AU1" s="1" t="s">
        <v>2</v>
      </c>
      <c r="AV1" s="1" t="s">
        <v>1</v>
      </c>
      <c r="AW1" s="1" t="s">
        <v>2</v>
      </c>
      <c r="AX1" s="1" t="s">
        <v>1</v>
      </c>
      <c r="AY1" s="1" t="s">
        <v>2</v>
      </c>
    </row>
    <row r="2">
      <c r="A2" s="2">
        <v>45434.85426306713</v>
      </c>
      <c r="B2" s="3" t="s">
        <v>3</v>
      </c>
      <c r="C2" s="3" t="s">
        <v>4</v>
      </c>
      <c r="D2" s="3" t="s">
        <v>5</v>
      </c>
      <c r="E2" s="3" t="s">
        <v>4</v>
      </c>
      <c r="F2" s="3" t="s">
        <v>6</v>
      </c>
      <c r="G2" s="3" t="s">
        <v>4</v>
      </c>
      <c r="H2" s="3" t="s">
        <v>6</v>
      </c>
      <c r="I2" s="3" t="s">
        <v>4</v>
      </c>
      <c r="J2" s="3" t="s">
        <v>3</v>
      </c>
      <c r="K2" s="3" t="s">
        <v>4</v>
      </c>
      <c r="L2" s="3" t="s">
        <v>6</v>
      </c>
      <c r="M2" s="3" t="s">
        <v>4</v>
      </c>
      <c r="N2" s="3" t="s">
        <v>3</v>
      </c>
      <c r="O2" s="3" t="s">
        <v>4</v>
      </c>
      <c r="P2" s="3" t="s">
        <v>3</v>
      </c>
      <c r="Q2" s="3" t="s">
        <v>4</v>
      </c>
      <c r="R2" s="3" t="s">
        <v>3</v>
      </c>
      <c r="S2" s="3" t="s">
        <v>4</v>
      </c>
      <c r="T2" s="3" t="s">
        <v>3</v>
      </c>
      <c r="U2" s="3" t="s">
        <v>4</v>
      </c>
      <c r="V2" s="3" t="s">
        <v>3</v>
      </c>
      <c r="W2" s="3" t="s">
        <v>4</v>
      </c>
      <c r="X2" s="3" t="s">
        <v>5</v>
      </c>
      <c r="Y2" s="3" t="s">
        <v>7</v>
      </c>
      <c r="Z2" s="3" t="s">
        <v>3</v>
      </c>
      <c r="AA2" s="3" t="s">
        <v>4</v>
      </c>
      <c r="AB2" s="3" t="s">
        <v>5</v>
      </c>
      <c r="AC2" s="3" t="s">
        <v>7</v>
      </c>
      <c r="AD2" s="3" t="s">
        <v>3</v>
      </c>
      <c r="AE2" s="3" t="s">
        <v>4</v>
      </c>
      <c r="AF2" s="3" t="s">
        <v>5</v>
      </c>
      <c r="AG2" s="3" t="s">
        <v>7</v>
      </c>
      <c r="AH2" s="3" t="s">
        <v>3</v>
      </c>
      <c r="AI2" s="3" t="s">
        <v>7</v>
      </c>
      <c r="AJ2" s="3" t="s">
        <v>5</v>
      </c>
      <c r="AK2" s="3" t="s">
        <v>7</v>
      </c>
      <c r="AL2" s="3" t="s">
        <v>3</v>
      </c>
      <c r="AM2" s="3" t="s">
        <v>4</v>
      </c>
      <c r="AN2" s="3" t="s">
        <v>3</v>
      </c>
      <c r="AO2" s="3" t="s">
        <v>4</v>
      </c>
      <c r="AP2" s="3" t="s">
        <v>5</v>
      </c>
      <c r="AQ2" s="3" t="s">
        <v>7</v>
      </c>
      <c r="AR2" s="3" t="s">
        <v>8</v>
      </c>
      <c r="AS2" s="3" t="s">
        <v>4</v>
      </c>
      <c r="AT2" s="3" t="s">
        <v>5</v>
      </c>
      <c r="AU2" s="3" t="s">
        <v>4</v>
      </c>
      <c r="AV2" s="3" t="s">
        <v>3</v>
      </c>
      <c r="AW2" s="3" t="s">
        <v>4</v>
      </c>
      <c r="AX2" s="3" t="s">
        <v>5</v>
      </c>
      <c r="AY2" s="3" t="s">
        <v>7</v>
      </c>
    </row>
    <row r="3">
      <c r="A3" s="2">
        <v>45440.55367127315</v>
      </c>
      <c r="B3" s="3" t="s">
        <v>5</v>
      </c>
      <c r="C3" s="3" t="s">
        <v>7</v>
      </c>
      <c r="D3" s="3" t="s">
        <v>9</v>
      </c>
      <c r="E3" s="3" t="s">
        <v>4</v>
      </c>
      <c r="F3" s="3" t="s">
        <v>6</v>
      </c>
      <c r="G3" s="3" t="s">
        <v>7</v>
      </c>
      <c r="H3" s="3" t="s">
        <v>6</v>
      </c>
      <c r="I3" s="3" t="s">
        <v>4</v>
      </c>
      <c r="J3" s="3" t="s">
        <v>8</v>
      </c>
      <c r="K3" s="3" t="s">
        <v>4</v>
      </c>
      <c r="L3" s="3" t="s">
        <v>9</v>
      </c>
      <c r="M3" s="3" t="s">
        <v>7</v>
      </c>
      <c r="N3" s="3" t="s">
        <v>3</v>
      </c>
      <c r="O3" s="3" t="s">
        <v>4</v>
      </c>
      <c r="P3" s="3" t="s">
        <v>9</v>
      </c>
      <c r="Q3" s="3" t="s">
        <v>7</v>
      </c>
      <c r="R3" s="3" t="s">
        <v>3</v>
      </c>
      <c r="S3" s="3" t="s">
        <v>4</v>
      </c>
      <c r="T3" s="3" t="s">
        <v>3</v>
      </c>
      <c r="U3" s="3" t="s">
        <v>7</v>
      </c>
      <c r="V3" s="3" t="s">
        <v>5</v>
      </c>
      <c r="W3" s="3" t="s">
        <v>4</v>
      </c>
      <c r="X3" s="3" t="s">
        <v>5</v>
      </c>
      <c r="Y3" s="3" t="s">
        <v>7</v>
      </c>
      <c r="Z3" s="3" t="s">
        <v>3</v>
      </c>
      <c r="AA3" s="3" t="s">
        <v>4</v>
      </c>
      <c r="AB3" s="3" t="s">
        <v>5</v>
      </c>
      <c r="AC3" s="3" t="s">
        <v>7</v>
      </c>
      <c r="AD3" s="3" t="s">
        <v>3</v>
      </c>
      <c r="AE3" s="3" t="s">
        <v>7</v>
      </c>
      <c r="AF3" s="3" t="s">
        <v>5</v>
      </c>
      <c r="AG3" s="3" t="s">
        <v>7</v>
      </c>
      <c r="AH3" s="3" t="s">
        <v>3</v>
      </c>
      <c r="AI3" s="3" t="s">
        <v>7</v>
      </c>
      <c r="AJ3" s="3" t="s">
        <v>3</v>
      </c>
      <c r="AK3" s="3" t="s">
        <v>4</v>
      </c>
      <c r="AL3" s="3" t="s">
        <v>3</v>
      </c>
      <c r="AM3" s="3" t="s">
        <v>4</v>
      </c>
      <c r="AN3" s="3" t="s">
        <v>3</v>
      </c>
      <c r="AO3" s="3" t="s">
        <v>4</v>
      </c>
      <c r="AP3" s="3" t="s">
        <v>5</v>
      </c>
      <c r="AQ3" s="3" t="s">
        <v>4</v>
      </c>
      <c r="AR3" s="3" t="s">
        <v>8</v>
      </c>
      <c r="AS3" s="3" t="s">
        <v>4</v>
      </c>
      <c r="AT3" s="3" t="s">
        <v>5</v>
      </c>
      <c r="AU3" s="3" t="s">
        <v>4</v>
      </c>
      <c r="AV3" s="3" t="s">
        <v>3</v>
      </c>
      <c r="AW3" s="3" t="s">
        <v>7</v>
      </c>
      <c r="AX3" s="3" t="s">
        <v>5</v>
      </c>
      <c r="AY3" s="3" t="s">
        <v>7</v>
      </c>
    </row>
    <row r="4">
      <c r="A4" s="2">
        <v>45440.68401890046</v>
      </c>
      <c r="B4" s="3" t="s">
        <v>8</v>
      </c>
      <c r="C4" s="3" t="s">
        <v>7</v>
      </c>
      <c r="D4" s="3" t="s">
        <v>3</v>
      </c>
      <c r="E4" s="3" t="s">
        <v>4</v>
      </c>
      <c r="F4" s="3" t="s">
        <v>9</v>
      </c>
      <c r="G4" s="3" t="s">
        <v>7</v>
      </c>
      <c r="H4" s="3" t="s">
        <v>9</v>
      </c>
      <c r="I4" s="3" t="s">
        <v>7</v>
      </c>
      <c r="J4" s="3" t="s">
        <v>3</v>
      </c>
      <c r="K4" s="3" t="s">
        <v>4</v>
      </c>
      <c r="L4" s="3" t="s">
        <v>9</v>
      </c>
      <c r="M4" s="3" t="s">
        <v>7</v>
      </c>
      <c r="N4" s="3" t="s">
        <v>3</v>
      </c>
      <c r="O4" s="3" t="s">
        <v>7</v>
      </c>
      <c r="P4" s="3" t="s">
        <v>3</v>
      </c>
      <c r="Q4" s="3" t="s">
        <v>7</v>
      </c>
      <c r="R4" s="3" t="s">
        <v>3</v>
      </c>
      <c r="S4" s="3" t="s">
        <v>7</v>
      </c>
      <c r="T4" s="3" t="s">
        <v>3</v>
      </c>
      <c r="U4" s="3" t="s">
        <v>4</v>
      </c>
      <c r="V4" s="3" t="s">
        <v>3</v>
      </c>
      <c r="W4" s="3" t="s">
        <v>7</v>
      </c>
      <c r="X4" s="3" t="s">
        <v>9</v>
      </c>
      <c r="Y4" s="3" t="s">
        <v>7</v>
      </c>
      <c r="Z4" s="3" t="s">
        <v>5</v>
      </c>
      <c r="AA4" s="3" t="s">
        <v>7</v>
      </c>
      <c r="AB4" s="3" t="s">
        <v>5</v>
      </c>
      <c r="AC4" s="3" t="s">
        <v>7</v>
      </c>
      <c r="AD4" s="3" t="s">
        <v>3</v>
      </c>
      <c r="AE4" s="3" t="s">
        <v>4</v>
      </c>
      <c r="AF4" s="3" t="s">
        <v>5</v>
      </c>
      <c r="AG4" s="3" t="s">
        <v>7</v>
      </c>
      <c r="AH4" s="3" t="s">
        <v>3</v>
      </c>
      <c r="AI4" s="3" t="s">
        <v>7</v>
      </c>
      <c r="AJ4" s="3" t="s">
        <v>5</v>
      </c>
      <c r="AK4" s="3" t="s">
        <v>7</v>
      </c>
      <c r="AL4" s="3" t="s">
        <v>5</v>
      </c>
      <c r="AM4" s="3" t="s">
        <v>7</v>
      </c>
      <c r="AN4" s="3" t="s">
        <v>3</v>
      </c>
      <c r="AO4" s="3" t="s">
        <v>7</v>
      </c>
      <c r="AP4" s="3" t="s">
        <v>3</v>
      </c>
      <c r="AQ4" s="3" t="s">
        <v>7</v>
      </c>
      <c r="AR4" s="3" t="s">
        <v>8</v>
      </c>
      <c r="AS4" s="3" t="s">
        <v>4</v>
      </c>
      <c r="AT4" s="3" t="s">
        <v>9</v>
      </c>
      <c r="AU4" s="3" t="s">
        <v>4</v>
      </c>
      <c r="AV4" s="3" t="s">
        <v>3</v>
      </c>
      <c r="AW4" s="3" t="s">
        <v>7</v>
      </c>
      <c r="AX4" s="3" t="s">
        <v>9</v>
      </c>
      <c r="AY4" s="3" t="s">
        <v>4</v>
      </c>
    </row>
    <row r="5">
      <c r="A5" s="4" t="s">
        <v>10</v>
      </c>
      <c r="B5" s="5">
        <f t="array" ref="B5">MAX(COUNTIF(B2:B4,B2:B4))/3</f>
        <v>0.3333333333</v>
      </c>
      <c r="C5" s="5">
        <f t="array" ref="C5">MAX(COUNTIF(C2:C4,C2:C4))/3</f>
        <v>0.6666666667</v>
      </c>
      <c r="D5" s="5">
        <f t="array" ref="D5">MAX(COUNTIF(D2:D4,D2:D4))/3</f>
        <v>0.3333333333</v>
      </c>
      <c r="E5" s="5">
        <f t="array" ref="E5">MAX(COUNTIF(E2:E4,E2:E4))/3</f>
        <v>1</v>
      </c>
      <c r="F5" s="5">
        <f t="array" ref="F5">MAX(COUNTIF(F2:F4,F2:F4))/3</f>
        <v>0.6666666667</v>
      </c>
      <c r="G5" s="5">
        <f t="array" ref="G5">MAX(COUNTIF(G2:G4,G2:G4))/3</f>
        <v>0.6666666667</v>
      </c>
      <c r="H5" s="5">
        <f t="array" ref="H5">MAX(COUNTIF(H2:H4,H2:H4))/3</f>
        <v>0.6666666667</v>
      </c>
      <c r="I5" s="5">
        <f t="array" ref="I5">MAX(COUNTIF(I2:I4,I2:I4))/3</f>
        <v>0.6666666667</v>
      </c>
      <c r="J5" s="5">
        <f t="array" ref="J5">MAX(COUNTIF(J2:J4,J2:J4))/3</f>
        <v>0.6666666667</v>
      </c>
      <c r="K5" s="5">
        <f t="array" ref="K5">MAX(COUNTIF(K2:K4,K2:K4))/3</f>
        <v>1</v>
      </c>
      <c r="L5" s="5">
        <f t="array" ref="L5">MAX(COUNTIF(L2:L4,L2:L4))/3</f>
        <v>0.6666666667</v>
      </c>
      <c r="M5" s="5">
        <f t="array" ref="M5">MAX(COUNTIF(M2:M4,M2:M4))/3</f>
        <v>0.6666666667</v>
      </c>
      <c r="N5" s="5">
        <f t="array" ref="N5">MAX(COUNTIF(N2:N4,N2:N4))/3</f>
        <v>1</v>
      </c>
      <c r="O5" s="5">
        <f t="array" ref="O5">MAX(COUNTIF(O2:O4,O2:O4))/3</f>
        <v>0.6666666667</v>
      </c>
      <c r="P5" s="5">
        <f t="array" ref="P5">MAX(COUNTIF(P2:P4,P2:P4))/3</f>
        <v>0.6666666667</v>
      </c>
      <c r="Q5" s="5">
        <f t="array" ref="Q5">MAX(COUNTIF(Q2:Q4,Q2:Q4))/3</f>
        <v>0.6666666667</v>
      </c>
      <c r="R5" s="5">
        <f t="array" ref="R5">MAX(COUNTIF(R2:R4,R2:R4))/3</f>
        <v>1</v>
      </c>
      <c r="S5" s="5">
        <f t="array" ref="S5">MAX(COUNTIF(S2:S4,S2:S4))/3</f>
        <v>0.6666666667</v>
      </c>
      <c r="T5" s="5">
        <f t="array" ref="T5">MAX(COUNTIF(T2:T4,T2:T4))/3</f>
        <v>1</v>
      </c>
      <c r="U5" s="5">
        <f t="array" ref="U5">MAX(COUNTIF(U2:U4,U2:U4))/3</f>
        <v>0.6666666667</v>
      </c>
      <c r="V5" s="5">
        <f t="array" ref="V5">MAX(COUNTIF(V2:V4,V2:V4))/3</f>
        <v>0.6666666667</v>
      </c>
      <c r="W5" s="5">
        <f t="array" ref="W5">MAX(COUNTIF(W2:W4,W2:W4))/3</f>
        <v>0.6666666667</v>
      </c>
      <c r="X5" s="5">
        <f t="array" ref="X5">MAX(COUNTIF(X2:X4,X2:X4))/3</f>
        <v>0.6666666667</v>
      </c>
      <c r="Y5" s="5">
        <f t="array" ref="Y5">MAX(COUNTIF(Y2:Y4,Y2:Y4))/3</f>
        <v>1</v>
      </c>
      <c r="Z5" s="5">
        <f t="array" ref="Z5">MAX(COUNTIF(Z2:Z4,Z2:Z4))/3</f>
        <v>0.6666666667</v>
      </c>
      <c r="AA5" s="5">
        <f t="array" ref="AA5">MAX(COUNTIF(AA2:AA4,AA2:AA4))/3</f>
        <v>0.6666666667</v>
      </c>
      <c r="AB5" s="5">
        <f t="array" ref="AB5">MAX(COUNTIF(AB2:AB4,AB2:AB4))/3</f>
        <v>1</v>
      </c>
      <c r="AC5" s="5">
        <f t="array" ref="AC5">MAX(COUNTIF(AC2:AC4,AC2:AC4))/3</f>
        <v>1</v>
      </c>
      <c r="AD5" s="5">
        <f t="array" ref="AD5">MAX(COUNTIF(AD2:AD4,AD2:AD4))/3</f>
        <v>1</v>
      </c>
      <c r="AE5" s="5">
        <f t="array" ref="AE5">MAX(COUNTIF(AE2:AE4,AE2:AE4))/3</f>
        <v>0.6666666667</v>
      </c>
      <c r="AF5" s="5">
        <f t="array" ref="AF5">MAX(COUNTIF(AF2:AF4,AF2:AF4))/3</f>
        <v>1</v>
      </c>
      <c r="AG5" s="5">
        <f t="array" ref="AG5">MAX(COUNTIF(AG2:AG4,AG2:AG4))/3</f>
        <v>1</v>
      </c>
      <c r="AH5" s="5">
        <f t="array" ref="AH5">MAX(COUNTIF(AH2:AH4,AH2:AH4))/3</f>
        <v>1</v>
      </c>
      <c r="AI5" s="5">
        <f t="array" ref="AI5">MAX(COUNTIF(AI2:AI4,AI2:AI4))/3</f>
        <v>1</v>
      </c>
      <c r="AJ5" s="5">
        <f t="array" ref="AJ5">MAX(COUNTIF(AJ2:AJ4,AJ2:AJ4))/3</f>
        <v>0.6666666667</v>
      </c>
      <c r="AK5" s="5">
        <f t="array" ref="AK5">MAX(COUNTIF(AK2:AK4,AK2:AK4))/3</f>
        <v>0.6666666667</v>
      </c>
      <c r="AL5" s="5">
        <f t="array" ref="AL5">MAX(COUNTIF(AL2:AL4,AL2:AL4))/3</f>
        <v>0.6666666667</v>
      </c>
      <c r="AM5" s="5">
        <f t="array" ref="AM5">MAX(COUNTIF(AM2:AM4,AM2:AM4))/3</f>
        <v>0.6666666667</v>
      </c>
      <c r="AN5" s="5">
        <f t="array" ref="AN5">MAX(COUNTIF(AN2:AN4,AN2:AN4))/3</f>
        <v>1</v>
      </c>
      <c r="AO5" s="5">
        <f t="array" ref="AO5">MAX(COUNTIF(AO2:AO4,AO2:AO4))/3</f>
        <v>0.6666666667</v>
      </c>
      <c r="AP5" s="5">
        <f t="array" ref="AP5">MAX(COUNTIF(AP2:AP4,AP2:AP4))/3</f>
        <v>0.6666666667</v>
      </c>
      <c r="AQ5" s="5">
        <f t="array" ref="AQ5">MAX(COUNTIF(AQ2:AQ4,AQ2:AQ4))/3</f>
        <v>0.6666666667</v>
      </c>
      <c r="AR5" s="5">
        <f t="array" ref="AR5">MAX(COUNTIF(AR2:AR4,AR2:AR4))/3</f>
        <v>1</v>
      </c>
      <c r="AS5" s="5">
        <f t="array" ref="AS5">MAX(COUNTIF(AS2:AS4,AS2:AS4))/3</f>
        <v>1</v>
      </c>
      <c r="AT5" s="5">
        <f t="array" ref="AT5">MAX(COUNTIF(AT2:AT4,AT2:AT4))/3</f>
        <v>0.6666666667</v>
      </c>
      <c r="AU5" s="5">
        <f t="array" ref="AU5">MAX(COUNTIF(AU2:AU4,AU2:AU4))/3</f>
        <v>1</v>
      </c>
      <c r="AV5" s="5">
        <f t="array" ref="AV5">MAX(COUNTIF(AV2:AV4,AV2:AV4))/3</f>
        <v>1</v>
      </c>
      <c r="AW5" s="5">
        <f t="array" ref="AW5">MAX(COUNTIF(AW2:AW4,AW2:AW4))/3</f>
        <v>0.6666666667</v>
      </c>
      <c r="AX5" s="5">
        <f t="array" ref="AX5">MAX(COUNTIF(AX2:AX4,AX2:AX4))/3</f>
        <v>0.6666666667</v>
      </c>
      <c r="AY5" s="5">
        <f t="array" ref="AY5">MAX(COUNTIF(AY2:AY4,AY2:AY4))/3</f>
        <v>0.6666666667</v>
      </c>
    </row>
    <row r="6">
      <c r="A6" s="4" t="s">
        <v>11</v>
      </c>
      <c r="B6" s="5">
        <f>(B5+D5+F5+H5+J5+L5+N5+P5+R5+T5+V5+X5+Z5+AB5+AD5+AF5+AH5+AJ5+AN5+AP5+AR5+AT5+AV5+AX5)/25</f>
        <v>0.7466666667</v>
      </c>
      <c r="C6" s="5">
        <f>(C5+E5+G5+I5+K5+M5+O5+Q5+S5+U5+W5+Y5+AA5+AC5+AE5+AG5+AI5+AK5+AM5+AO5+AQ5+AS5+AU5+AW5+AY5)/25</f>
        <v>0.7733333333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>
      <c r="A7" s="4" t="s">
        <v>12</v>
      </c>
      <c r="B7" s="6" t="s">
        <v>13</v>
      </c>
      <c r="C7" s="6" t="s">
        <v>13</v>
      </c>
      <c r="D7" s="6" t="s">
        <v>13</v>
      </c>
      <c r="E7" s="6" t="s">
        <v>4</v>
      </c>
      <c r="F7" s="6" t="s">
        <v>6</v>
      </c>
      <c r="G7" s="6" t="s">
        <v>13</v>
      </c>
      <c r="H7" s="6" t="s">
        <v>6</v>
      </c>
      <c r="I7" s="6" t="s">
        <v>13</v>
      </c>
      <c r="J7" s="6" t="s">
        <v>3</v>
      </c>
      <c r="K7" s="6" t="s">
        <v>4</v>
      </c>
      <c r="L7" s="6" t="s">
        <v>9</v>
      </c>
      <c r="M7" s="6" t="s">
        <v>13</v>
      </c>
      <c r="N7" s="6" t="s">
        <v>3</v>
      </c>
      <c r="O7" s="6" t="s">
        <v>13</v>
      </c>
      <c r="P7" s="6" t="s">
        <v>3</v>
      </c>
      <c r="Q7" s="6" t="s">
        <v>13</v>
      </c>
      <c r="R7" s="6" t="s">
        <v>3</v>
      </c>
      <c r="S7" s="6" t="s">
        <v>13</v>
      </c>
      <c r="T7" s="6" t="s">
        <v>3</v>
      </c>
      <c r="U7" s="6" t="s">
        <v>13</v>
      </c>
      <c r="V7" s="6" t="s">
        <v>3</v>
      </c>
      <c r="W7" s="6" t="s">
        <v>13</v>
      </c>
      <c r="X7" s="6" t="s">
        <v>5</v>
      </c>
      <c r="Y7" s="6" t="s">
        <v>7</v>
      </c>
      <c r="Z7" s="6" t="s">
        <v>3</v>
      </c>
      <c r="AA7" s="6" t="s">
        <v>13</v>
      </c>
      <c r="AB7" s="6" t="s">
        <v>5</v>
      </c>
      <c r="AC7" s="6" t="s">
        <v>7</v>
      </c>
      <c r="AD7" s="6" t="s">
        <v>3</v>
      </c>
      <c r="AE7" s="6" t="s">
        <v>13</v>
      </c>
      <c r="AF7" s="6" t="s">
        <v>5</v>
      </c>
      <c r="AG7" s="6" t="s">
        <v>7</v>
      </c>
      <c r="AH7" s="6" t="s">
        <v>3</v>
      </c>
      <c r="AI7" s="6" t="s">
        <v>7</v>
      </c>
      <c r="AJ7" s="6" t="s">
        <v>5</v>
      </c>
      <c r="AK7" s="6" t="s">
        <v>13</v>
      </c>
      <c r="AL7" s="6" t="s">
        <v>3</v>
      </c>
      <c r="AM7" s="6" t="s">
        <v>13</v>
      </c>
      <c r="AN7" s="6" t="s">
        <v>3</v>
      </c>
      <c r="AO7" s="6" t="s">
        <v>13</v>
      </c>
      <c r="AP7" s="6" t="s">
        <v>5</v>
      </c>
      <c r="AQ7" s="6" t="s">
        <v>13</v>
      </c>
      <c r="AR7" s="6" t="s">
        <v>8</v>
      </c>
      <c r="AS7" s="6" t="s">
        <v>4</v>
      </c>
      <c r="AT7" s="6" t="s">
        <v>5</v>
      </c>
      <c r="AU7" s="6" t="s">
        <v>4</v>
      </c>
      <c r="AV7" s="6" t="s">
        <v>3</v>
      </c>
      <c r="AW7" s="6" t="s">
        <v>13</v>
      </c>
      <c r="AX7" s="6" t="s">
        <v>5</v>
      </c>
      <c r="AY7" s="6" t="s">
        <v>13</v>
      </c>
    </row>
    <row r="8">
      <c r="A8" s="4" t="s">
        <v>14</v>
      </c>
      <c r="B8" s="4"/>
      <c r="C8" s="4"/>
      <c r="D8" s="4"/>
      <c r="E8" s="6" t="s">
        <v>4</v>
      </c>
      <c r="F8" s="6" t="s">
        <v>6</v>
      </c>
      <c r="G8" s="4"/>
      <c r="H8" s="6" t="s">
        <v>6</v>
      </c>
      <c r="I8" s="4"/>
      <c r="J8" s="6" t="s">
        <v>8</v>
      </c>
      <c r="K8" s="6" t="s">
        <v>4</v>
      </c>
      <c r="L8" s="6" t="s">
        <v>8</v>
      </c>
      <c r="M8" s="4"/>
      <c r="N8" s="6" t="s">
        <v>8</v>
      </c>
      <c r="O8" s="4"/>
      <c r="P8" s="6" t="s">
        <v>6</v>
      </c>
      <c r="Q8" s="4"/>
      <c r="R8" s="6" t="s">
        <v>8</v>
      </c>
      <c r="S8" s="4"/>
      <c r="T8" s="6" t="s">
        <v>3</v>
      </c>
      <c r="U8" s="4"/>
      <c r="V8" s="6" t="s">
        <v>3</v>
      </c>
      <c r="W8" s="4"/>
      <c r="X8" s="6" t="s">
        <v>8</v>
      </c>
      <c r="Y8" s="6" t="s">
        <v>7</v>
      </c>
      <c r="Z8" s="6" t="s">
        <v>8</v>
      </c>
      <c r="AA8" s="4"/>
      <c r="AB8" s="6" t="s">
        <v>8</v>
      </c>
      <c r="AC8" s="6" t="s">
        <v>7</v>
      </c>
      <c r="AD8" s="6" t="s">
        <v>8</v>
      </c>
      <c r="AE8" s="4"/>
      <c r="AF8" s="6" t="s">
        <v>8</v>
      </c>
      <c r="AG8" s="6" t="s">
        <v>15</v>
      </c>
      <c r="AH8" s="6" t="s">
        <v>3</v>
      </c>
      <c r="AI8" s="6" t="s">
        <v>4</v>
      </c>
      <c r="AJ8" s="6" t="s">
        <v>3</v>
      </c>
      <c r="AK8" s="6"/>
      <c r="AL8" s="6" t="s">
        <v>6</v>
      </c>
      <c r="AM8" s="4"/>
      <c r="AN8" s="6" t="s">
        <v>3</v>
      </c>
      <c r="AO8" s="4"/>
      <c r="AP8" s="6" t="s">
        <v>8</v>
      </c>
      <c r="AQ8" s="4"/>
      <c r="AR8" s="6" t="s">
        <v>8</v>
      </c>
      <c r="AS8" s="6" t="s">
        <v>4</v>
      </c>
      <c r="AT8" s="6" t="s">
        <v>3</v>
      </c>
      <c r="AU8" s="6" t="s">
        <v>7</v>
      </c>
      <c r="AV8" s="6" t="s">
        <v>8</v>
      </c>
      <c r="AW8" s="4"/>
      <c r="AX8" s="6" t="s">
        <v>3</v>
      </c>
      <c r="AY8" s="4"/>
    </row>
    <row r="9">
      <c r="A9" s="4" t="s">
        <v>16</v>
      </c>
      <c r="B9" s="5">
        <v>1.0</v>
      </c>
      <c r="C9" s="4"/>
      <c r="D9" s="5">
        <v>2.0</v>
      </c>
      <c r="E9" s="4"/>
      <c r="F9" s="5">
        <v>3.0</v>
      </c>
      <c r="G9" s="4"/>
      <c r="H9" s="5">
        <v>4.0</v>
      </c>
      <c r="I9" s="4"/>
      <c r="J9" s="5">
        <v>5.0</v>
      </c>
      <c r="K9" s="4"/>
      <c r="L9" s="5">
        <v>6.0</v>
      </c>
      <c r="M9" s="4"/>
      <c r="N9" s="5">
        <v>7.0</v>
      </c>
      <c r="O9" s="4"/>
      <c r="P9" s="5">
        <v>8.0</v>
      </c>
      <c r="Q9" s="4"/>
      <c r="R9" s="5">
        <v>9.0</v>
      </c>
      <c r="S9" s="4"/>
      <c r="T9" s="5">
        <v>10.0</v>
      </c>
      <c r="U9" s="4"/>
      <c r="V9" s="5">
        <v>11.0</v>
      </c>
      <c r="W9" s="4"/>
      <c r="X9" s="5">
        <v>12.0</v>
      </c>
      <c r="Y9" s="4"/>
      <c r="Z9" s="5">
        <v>13.0</v>
      </c>
      <c r="AA9" s="4"/>
      <c r="AB9" s="5">
        <v>14.0</v>
      </c>
      <c r="AC9" s="4"/>
      <c r="AD9" s="5">
        <v>15.0</v>
      </c>
      <c r="AE9" s="4"/>
      <c r="AF9" s="5">
        <v>16.0</v>
      </c>
      <c r="AG9" s="4"/>
      <c r="AH9" s="5">
        <v>17.0</v>
      </c>
      <c r="AI9" s="4"/>
      <c r="AJ9" s="5">
        <v>18.0</v>
      </c>
      <c r="AK9" s="4"/>
      <c r="AL9" s="5">
        <v>19.0</v>
      </c>
      <c r="AM9" s="4"/>
      <c r="AN9" s="5">
        <v>20.0</v>
      </c>
      <c r="AO9" s="4"/>
      <c r="AP9" s="5">
        <v>21.0</v>
      </c>
      <c r="AQ9" s="4"/>
      <c r="AR9" s="5">
        <v>22.0</v>
      </c>
      <c r="AS9" s="4"/>
      <c r="AT9" s="5">
        <v>23.0</v>
      </c>
      <c r="AU9" s="4"/>
      <c r="AV9" s="5">
        <v>24.0</v>
      </c>
      <c r="AW9" s="4"/>
      <c r="AX9" s="5">
        <v>25.0</v>
      </c>
      <c r="AY9" s="4"/>
    </row>
    <row r="10">
      <c r="A10" s="4" t="s">
        <v>17</v>
      </c>
      <c r="B10" s="4" t="str">
        <f>IF(ISBLANK(B8),"",IF(COUNTIF(B2:B4,B8),1,0))</f>
        <v/>
      </c>
      <c r="C10" s="4" t="str">
        <f>IF(ISBLANK(C8),"",IF(C7=C8,1,0))</f>
        <v/>
      </c>
      <c r="D10" s="5" t="str">
        <f>IF(ISBLANK(D8),"",IF(COUNTIF(D2:D4,D8),1,0))</f>
        <v/>
      </c>
      <c r="E10" s="4">
        <f>IF(ISBLANK(E8),"",IF(E7=E8,1,0))</f>
        <v>1</v>
      </c>
      <c r="F10" s="4">
        <f>IF(ISBLANK(F8),"",IF(COUNTIF(F2:F4,F8),1,0))</f>
        <v>1</v>
      </c>
      <c r="G10" s="5" t="str">
        <f>IF(ISBLANK(G8),"",IF(G7=G8,1,0))</f>
        <v/>
      </c>
      <c r="H10" s="5">
        <f>IF(ISBLANK(H8),"",IF(COUNTIF(H2:H4,H8),1,0))</f>
        <v>1</v>
      </c>
      <c r="I10" s="4" t="str">
        <f>IF(ISBLANK(I8),"",IF(I7=I8,1,0))</f>
        <v/>
      </c>
      <c r="J10" s="5">
        <f>IF(ISBLANK(J8),"",IF(COUNTIF(J2:J4,J8),1,0))</f>
        <v>1</v>
      </c>
      <c r="K10" s="5">
        <f>IF(ISBLANK(K8),"",IF(K7=K8,1,0))</f>
        <v>1</v>
      </c>
      <c r="L10" s="4">
        <f>IF(ISBLANK(L8),"",IF(COUNTIF(L2:L4,L8),1,0))</f>
        <v>0</v>
      </c>
      <c r="M10" s="5" t="str">
        <f>IF(ISBLANK(M8),"",IF(M7=M8,1,0))</f>
        <v/>
      </c>
      <c r="N10" s="4">
        <f>IF(ISBLANK(N8),"",IF(COUNTIF(N2:N4,N8),1,0))</f>
        <v>0</v>
      </c>
      <c r="O10" s="4" t="str">
        <f>IF(ISBLANK(O8),"",IF(O7=O8,1,0))</f>
        <v/>
      </c>
      <c r="P10" s="5">
        <f>IF(ISBLANK(P8),"",IF(COUNTIF(P2:P4,P8),1,0))</f>
        <v>0</v>
      </c>
      <c r="Q10" s="4" t="str">
        <f>IF(ISBLANK(Q8),"",IF(Q7=Q8,1,0))</f>
        <v/>
      </c>
      <c r="R10" s="4">
        <f>IF(ISBLANK(R8),"",IF(COUNTIF(R2:R4,R8),1,0))</f>
        <v>0</v>
      </c>
      <c r="S10" s="4" t="str">
        <f>IF(ISBLANK(S8),"",IF(S7=S8,1,0))</f>
        <v/>
      </c>
      <c r="T10" s="4">
        <f>IF(ISBLANK(T8),"",IF(COUNTIF(T2:T4,T8),1,0))</f>
        <v>1</v>
      </c>
      <c r="U10" s="4" t="str">
        <f>IF(ISBLANK(U8),"",IF(U7=U8,1,0))</f>
        <v/>
      </c>
      <c r="V10" s="5">
        <f>IF(ISBLANK(V8),"",IF(COUNTIF(V2:V4,V8),1,0))</f>
        <v>1</v>
      </c>
      <c r="W10" s="4" t="str">
        <f>IF(ISBLANK(W8),"",IF(W7=W8,1,0))</f>
        <v/>
      </c>
      <c r="X10" s="5">
        <f>IF(ISBLANK(X8),"",IF(COUNTIF(X2:X4,X8),1,0))</f>
        <v>0</v>
      </c>
      <c r="Y10" s="4">
        <f>IF(ISBLANK(Y8),"",IF(Y7=Y8,1,0))</f>
        <v>1</v>
      </c>
      <c r="Z10" s="4">
        <f>IF(ISBLANK(Z8),"",IF(COUNTIF(Z2:Z4,Z8),1,0))</f>
        <v>0</v>
      </c>
      <c r="AA10" s="4" t="str">
        <f>IF(ISBLANK(AA8),"",IF(AA7=AA8,1,0))</f>
        <v/>
      </c>
      <c r="AB10" s="4">
        <f>IF(ISBLANK(AB8),"",IF(COUNTIF(AB2:AB4,AB8),1,0))</f>
        <v>0</v>
      </c>
      <c r="AC10" s="5">
        <f>IF(ISBLANK(AC8),"",IF(AC7=AC8,1,0))</f>
        <v>1</v>
      </c>
      <c r="AD10" s="4">
        <f>IF(ISBLANK(AD8),"",IF(COUNTIF(AD2:AD4,AD8),1,0))</f>
        <v>0</v>
      </c>
      <c r="AE10" s="4" t="str">
        <f>IF(ISBLANK(AE8),"",IF(AE7=AE8,1,0))</f>
        <v/>
      </c>
      <c r="AF10" s="4">
        <f>IF(ISBLANK(AF8),"",IF(COUNTIF(AF2:AF4,AF8),1,0))</f>
        <v>0</v>
      </c>
      <c r="AG10" s="4">
        <f>IF(ISBLANK(AG8),"",IF(AG7=AG8,1,0))</f>
        <v>0</v>
      </c>
      <c r="AH10" s="5">
        <f>IF(ISBLANK(AH8),"",IF(COUNTIF(AH2:AH4,AH8),1,0))</f>
        <v>1</v>
      </c>
      <c r="AI10" s="4">
        <f>IF(ISBLANK(AI8),"",IF(AI7=AI8,1,0))</f>
        <v>0</v>
      </c>
      <c r="AJ10" s="5">
        <f>IF(ISBLANK(AJ8),"",IF(COUNTIF(AJ2:AJ4,AJ8),1,0))</f>
        <v>1</v>
      </c>
      <c r="AK10" s="4" t="str">
        <f>IF(ISBLANK(AK8),"",IF(AK7=AK8,1,0))</f>
        <v/>
      </c>
      <c r="AL10" s="4">
        <f>IF(ISBLANK(AL8),"",IF(COUNTIF(AL2:AL4,AL8),1,0))</f>
        <v>0</v>
      </c>
      <c r="AM10" s="4" t="str">
        <f>IF(ISBLANK(AM8),"",IF(AM7=AM8,1,0))</f>
        <v/>
      </c>
      <c r="AN10" s="4">
        <f>IF(ISBLANK(AN8),"",IF(COUNTIF(AN2:AN4,AN8),1,0))</f>
        <v>1</v>
      </c>
      <c r="AO10" s="4" t="str">
        <f>IF(ISBLANK(AO8),"",IF(AO7=AO8,1,0))</f>
        <v/>
      </c>
      <c r="AP10" s="4">
        <f>IF(ISBLANK(AP8),"",IF(COUNTIF(AP2:AP4,AP8),1,0))</f>
        <v>0</v>
      </c>
      <c r="AQ10" s="5" t="str">
        <f>IF(ISBLANK(AQ8),"",IF(AQ7=AQ8,1,0))</f>
        <v/>
      </c>
      <c r="AR10" s="5">
        <f>IF(ISBLANK(AR8),"",IF(COUNTIF(AR2:AR4,AR8),1,0))</f>
        <v>1</v>
      </c>
      <c r="AS10" s="5">
        <f>IF(ISBLANK(AS8),"",IF(AS7=AS8,1,0))</f>
        <v>1</v>
      </c>
      <c r="AT10" s="4">
        <f>IF(ISBLANK(AT8),"",IF(COUNTIF(AT2:AT4,AT8),1,0))</f>
        <v>0</v>
      </c>
      <c r="AU10" s="4">
        <f>IF(ISBLANK(AU8),"",IF(AU7=AU8,1,0))</f>
        <v>0</v>
      </c>
      <c r="AV10" s="5">
        <f>IF(ISBLANK(AV8),"",IF(COUNTIF(AV2:AV4,AV8),1,0))</f>
        <v>0</v>
      </c>
      <c r="AW10" s="4" t="str">
        <f>IF(ISBLANK(AW8),"",IF(AW7=AW8,1,0))</f>
        <v/>
      </c>
      <c r="AX10" s="4">
        <f>IF(ISBLANK(AX8),"",IF(COUNTIF(AX2:AX4,AX8),1,0))</f>
        <v>0</v>
      </c>
      <c r="AY10" s="5" t="str">
        <f>IF(ISBLANK(AY8),"",IF(AY7=AY8,1,0))</f>
        <v/>
      </c>
    </row>
    <row r="11">
      <c r="A11" s="4" t="s">
        <v>18</v>
      </c>
      <c r="B11" s="5">
        <f>SUM(B10+D10+F10+H10+J10+L10+N10+P10+R10+T10+V10+X10+Z10+AB10+AD10+AF10+AH10+AJ10+AN10+AP10+AR10+AT10+AV10+AX10)/COUNT(B10,D10,F10,H10,J10,L10,N10,P10,R10,T10,V10,X10,Z10,AB10,AD10,AF10,AH10,AJ10,AN10,AP10,AR10,AT10,AV10,AX10)</f>
        <v>0.4090909091</v>
      </c>
      <c r="C11" s="5">
        <f>(C10+E10+G10+I10+K10+M10+O10+Q10+S10+U10+W10+Y10+AA10+AC10+AE10+AG10+AI10+AK10+AM10+AO10+AQ10+AS10+AU10+AW10+AY10)/COUNT(C10,E10,G10,I10,K10,M10,O10,Q10,S10,U10,W10,Y10,AA10,AC10,AE10,AG10,AI10,AK10,AM10,AO10,AQ10,AS10,AU10,AW10,AY10)</f>
        <v>0.625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>
      <c r="A12" s="4" t="s">
        <v>19</v>
      </c>
      <c r="B12" s="7">
        <f>COUNT(B10,D10,F10,H10,J10,L10,N10,P10,R10,T10,V10,X10,Z10,AB10,AD10,AF10,AH10,AJ10,AN10,AP10,AR10,AT10,AV10,AX10)</f>
        <v>22</v>
      </c>
      <c r="C12" s="5">
        <f>COUNT(C10,E10,G10,I10,K10,M10,O10,Q10,S10,U10,W10,Y10,AA10,AC10,AE10,AG10,AI10,AK10,AM10,AO10,AQ10,AS10,AU10,AW10,AY10)</f>
        <v>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</row>
  </sheetData>
  <drawing r:id="rId1"/>
</worksheet>
</file>